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xec\Documents\Studium\4. Semester\Elektronische Produktentwicklung I\ELEK_Inv_Pen\Komponenten und Auslegung\"/>
    </mc:Choice>
  </mc:AlternateContent>
  <xr:revisionPtr revIDLastSave="0" documentId="13_ncr:1_{61B8B967-9769-4021-9760-898464CE7A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Bestellliste!$B$3:$O$3</definedName>
    <definedName name="_xlnm._FilterDatabase" localSheetId="1" hidden="1">'Übliche Händler'!$B$3:$G$47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3" l="1"/>
  <c r="L6" i="3" s="1"/>
  <c r="K7" i="3"/>
  <c r="L7" i="3" s="1"/>
  <c r="K8" i="3"/>
  <c r="L8" i="3"/>
  <c r="K9" i="3"/>
  <c r="L9" i="3" s="1"/>
  <c r="N10" i="3"/>
  <c r="K5" i="3"/>
  <c r="L5" i="3" s="1"/>
  <c r="K4" i="3"/>
  <c r="L4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10" i="3" l="1"/>
  <c r="L10" i="3"/>
  <c r="K10" i="7"/>
  <c r="L5" i="7"/>
  <c r="L10" i="7" s="1"/>
</calcChain>
</file>

<file path=xl/sharedStrings.xml><?xml version="1.0" encoding="utf-8"?>
<sst xmlns="http://schemas.openxmlformats.org/spreadsheetml/2006/main" count="358" uniqueCount="202">
  <si>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</si>
  <si>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</si>
  <si>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</si>
  <si>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</si>
  <si>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</si>
  <si>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</si>
  <si>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</si>
  <si>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</si>
  <si>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</si>
  <si>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</si>
  <si>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</si>
  <si>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</si>
  <si>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</si>
  <si>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</si>
  <si>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</si>
  <si>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</si>
  <si>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</si>
  <si>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</si>
  <si>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</si>
  <si>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</si>
  <si>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</si>
  <si>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</si>
  <si>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</si>
  <si>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</si>
  <si>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</si>
  <si>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</si>
  <si>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</si>
  <si>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</si>
  <si>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</si>
  <si>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</si>
  <si>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</si>
  <si>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</si>
  <si>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</si>
  <si>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</si>
  <si>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</si>
  <si>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</si>
  <si>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</si>
  <si>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</si>
  <si>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</si>
  <si>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</si>
  <si>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</si>
  <si>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</si>
  <si>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</si>
  <si>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</si>
  <si>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</si>
  <si>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</si>
  <si>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</si>
  <si>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</si>
  <si>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</si>
  <si>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</si>
  <si>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</si>
  <si>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</si>
  <si>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</si>
  <si>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</si>
  <si>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</si>
  <si>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</si>
  <si>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</si>
  <si>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</si>
  <si>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</si>
  <si>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</si>
  <si>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</si>
  <si>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</si>
  <si>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</si>
  <si>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</si>
  <si>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</si>
  <si>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</si>
  <si>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</si>
  <si>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</si>
  <si>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</si>
  <si>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</si>
  <si>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</si>
  <si>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</si>
  <si>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</si>
  <si>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</si>
  <si>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</si>
  <si>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</si>
  <si>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</si>
  <si>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</si>
  <si>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</si>
  <si>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</si>
  <si>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</si>
  <si>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</si>
  <si>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</si>
  <si>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</si>
  <si>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</si>
  <si>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</si>
  <si>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</si>
  <si>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</si>
  <si>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</si>
  <si>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</si>
  <si>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</si>
  <si>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</si>
  <si>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</si>
  <si>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</si>
  <si>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</si>
  <si>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</si>
  <si>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</si>
  <si>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</si>
  <si>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</si>
  <si>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</si>
  <si>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</si>
  <si>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</si>
  <si>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</si>
  <si>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</si>
  <si>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</si>
  <si>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</si>
  <si>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</si>
  <si>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</si>
  <si>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</si>
  <si>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</si>
  <si>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</si>
  <si>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</si>
  <si>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</si>
  <si>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</si>
  <si>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</si>
  <si>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</si>
  <si>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</si>
  <si>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</si>
  <si>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</si>
  <si>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</si>
  <si>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</si>
  <si>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</si>
  <si>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</si>
  <si>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</si>
  <si>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</si>
  <si>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</si>
  <si>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</si>
  <si>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</si>
  <si>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</si>
  <si>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</si>
  <si>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</si>
  <si>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</si>
  <si>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</si>
  <si>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</si>
  <si>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</si>
  <si>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</si>
  <si>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</si>
  <si>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</si>
  <si>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</si>
  <si>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</si>
  <si>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</si>
  <si>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</si>
  <si>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</si>
  <si>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</si>
  <si>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</si>
  <si>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</si>
  <si>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</si>
  <si>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</si>
  <si>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</si>
  <si>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</si>
  <si>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</si>
  <si>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</si>
  <si>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</si>
  <si>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</si>
  <si>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</si>
  <si>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</si>
  <si>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</si>
  <si>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</si>
  <si>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</si>
  <si>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</si>
  <si>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</si>
  <si>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</si>
  <si>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</si>
  <si>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</si>
  <si>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</si>
  <si>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</si>
  <si>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</si>
  <si>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</si>
  <si>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</si>
  <si>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</si>
  <si>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</si>
  <si>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</si>
  <si>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</si>
  <si>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</si>
  <si>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</si>
  <si>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</si>
  <si>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</si>
  <si>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</si>
  <si>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Bauer Electronics DC-DC 18V-36V zu 12V Spannungs-Wandler 10A 120W</t>
  </si>
  <si>
    <t>2 Pack QUPERR Power Wheel Adapter mit Sicherung &amp; Schalter, Akku-Adapter für Makita 18V Lithium-Akku</t>
  </si>
  <si>
    <t>ESP8266 ESP-01S WiFi Modul</t>
  </si>
  <si>
    <t>https://www.amazon.de/Bauer-Electronics-12V-Spannungswandler-120W/dp/B09CYYTRTV/ref=sr_1_2_sspa?__mk_de_DE=ÅMÅŽÕÑ&amp;crid=1PGRMQW8WU5OL&amp;dib=eyJ2IjoiMSJ9.j1y7YUGZ614EIyywAsbczsokT1ybJuPGC3Z-ZCRAsoIlNXjYQG83CjTe06i9is-0YTTjS96c70fXnfz84w5dr66sOAR5DnKmBgIDvSCmiokH2S9VMCpyt3x7WWNvaoLFpvNGTrE8_c_9GMt8QtD91asV9W8629d_5FJSg9YTX6truOj0GLJo1wQfVu2fIQ5uonYW5hgfARuNtbiJmNPrHNlG1KtfuTAvIE9Dxo268Hw.xDV2AKCinjKBmnYx4Gwm-voOVZtg7bs3iyJzfWZFG5o&amp;dib_tag=se&amp;keywords=dcdc%2Bwandler%2B12v%2B10a&amp;qid=1747144732&amp;sprefix=dc%2Bdc%2Bwandler%2B12v%2B10a%2Caps%2C154&amp;sr=8-2-spons&amp;sp_csd=d2lkZ2V0TmFtZT1zcF9hdGY&amp;th=1</t>
  </si>
  <si>
    <t>https://www.amazon.de/QUPERR-Sicherung-Akku-Adapter-Lithium-Akku-Power-Converter/dp/B0BPRYRGVF/ref=sr_1_6?__mk_de_DE=ÅMÅŽÕÑ&amp;crid=276VZBEJ40QUX&amp;dib=eyJ2IjoiMSJ9.7SKdXH7QLVLBjgwq-4cSCmbfxWZX8zEXSMFm1-XC4fKXJnAK8tr-OUUHGSCVjd96leUb2TzWPY70SoNDNuofOuOwgBoaw3QEOZNwy2e21XDrZdrocEDUCDjjEvyJknbExeVieTLSwac3dbVEVAA3MsZyqtxId76PBSZqhRb2NTPzAfUzjW1d9oUUEX1JwUPF_MGxOsbfKxQzeZp9oAaAs81eWJjCOFA_fS7nYSsUeDY.9tHZQNh8Hzu9MMm-HiRbNy1zVDuVNl88OwXy5J3tccM&amp;dib_tag=se&amp;keywords=makita+akku+schnittstelle&amp;qid=1747144685&amp;sprefix=makita+akku+schnittstell%2Caps%2C146&amp;sr=8-6</t>
  </si>
  <si>
    <t>https://www.conrad.at/de/p/makita-bl1840b-197265-4-werkzeug-akku-18-v-4-ah-li-ion-1533184.html</t>
  </si>
  <si>
    <t>Makita Akku BL1840B 18V/4Ah Li-Ion</t>
  </si>
  <si>
    <t>1533184 - U3</t>
  </si>
  <si>
    <t>DFRobot DC-Getriebemotor mit Encoder, 122RPM, 90:1, 38Kg.cm Drehmoment, 12V</t>
  </si>
  <si>
    <t>https://www.berrybase.at/dfrobot-metall-dc-getriebemotor-mit-encoder-122rpm-90-1-38kg.cm-drehmoment-12v</t>
  </si>
  <si>
    <t>BerryBase</t>
  </si>
  <si>
    <t>FIT0403</t>
  </si>
  <si>
    <t>-</t>
  </si>
  <si>
    <t>https://www.berrybase.at/dfrobot-dual-channel-dc-motor-driver-12a-pwm-6-5-37v-12a-kontinuierlich-70a-spitzenstrom</t>
  </si>
  <si>
    <t>DFRobot Dual-Channel DC Motor Driver-12A, PWM, 6,5-37V, 12A kontinuierlich, 70A Spitzenstrom</t>
  </si>
  <si>
    <t>DFR0601</t>
  </si>
  <si>
    <t>https://www.reichelt.at/at/de/shop/produkt/entwicklerboards_-_esp8266_wifi-modul-192142?PROVID=2807&amp;gad_source=1&amp;gad_campaignid=20703100232&amp;gbraid=0AAAAADwnxtbHuNbIXEq_X_vZBuFC0CmHH#closemodal</t>
  </si>
  <si>
    <t>DEBO ESP8266</t>
  </si>
  <si>
    <t>ESP8266 WiFi-Modul</t>
  </si>
  <si>
    <t>Power Adapter</t>
  </si>
  <si>
    <t>Spannungs-Wandler</t>
  </si>
  <si>
    <t>DC-Motor Driver</t>
  </si>
  <si>
    <t>DC-Motor</t>
  </si>
  <si>
    <t>Akku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</si>
</sst>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[$€-2]\ #,##0.00;[Red]\-[$€-2]\ #,##0.00"/>
    <numFmt numFmtId="166" formatCode="0.0\ &quot;kg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2" fillId="0" borderId="1" xfId="0" applyFont="1" applyBorder="1"/>
    <xf numFmtId="0" fontId="0" fillId="0" borderId="1" xfId="0" applyBorder="1"/>
    <xf numFmtId="164" fontId="0" fillId="0" borderId="0" xfId="1" applyFont="1"/>
    <xf numFmtId="164" fontId="0" fillId="0" borderId="1" xfId="1" applyFont="1" applyBorder="1"/>
    <xf numFmtId="164" fontId="2" fillId="0" borderId="0" xfId="1" applyFont="1"/>
    <xf numFmtId="0" fontId="3" fillId="0" borderId="1" xfId="2" applyBorder="1"/>
    <xf numFmtId="0" fontId="3" fillId="0" borderId="0" xfId="2" applyBorder="1"/>
    <xf numFmtId="164" fontId="0" fillId="0" borderId="0" xfId="1" applyFont="1" applyBorder="1"/>
    <xf numFmtId="165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16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6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4" xfId="0" applyBorder="1"/>
    <xf numFmtId="164" fontId="0" fillId="0" borderId="4" xfId="1" applyFont="1" applyBorder="1"/>
    <xf numFmtId="164" fontId="2" fillId="0" borderId="4" xfId="1" applyFont="1" applyBorder="1"/>
    <xf numFmtId="166" fontId="2" fillId="0" borderId="4" xfId="1" applyNumberFormat="1" applyFont="1" applyBorder="1"/>
    <xf numFmtId="0" fontId="2" fillId="0" borderId="4" xfId="0" applyFont="1" applyBorder="1"/>
    <xf numFmtId="49" fontId="0" fillId="0" borderId="4" xfId="0" applyNumberFormat="1" applyBorder="1"/>
    <xf numFmtId="0" fontId="3" fillId="0" borderId="4" xfId="2" applyFill="1" applyBorder="1"/>
    <xf numFmtId="164" fontId="0" fillId="0" borderId="4" xfId="1" applyFont="1" applyFill="1" applyBorder="1"/>
    <xf numFmtId="0" fontId="0" fillId="0" borderId="4" xfId="1" applyNumberFormat="1" applyFont="1" applyFill="1" applyBorder="1"/>
    <xf numFmtId="2" fontId="0" fillId="0" borderId="4" xfId="1" applyNumberFormat="1" applyFont="1" applyFill="1" applyBorder="1"/>
    <xf numFmtId="0" fontId="3" fillId="0" borderId="0" xfId="2" applyFill="1" applyBorder="1"/>
    <xf numFmtId="164" fontId="0" fillId="0" borderId="0" xfId="1" applyFont="1" applyFill="1" applyBorder="1"/>
    <xf numFmtId="0" fontId="0" fillId="0" borderId="0" xfId="1" applyNumberFormat="1" applyFont="1" applyFill="1" applyBorder="1"/>
    <xf numFmtId="2" fontId="0" fillId="0" borderId="0" xfId="1" applyNumberFormat="1" applyFont="1" applyFill="1" applyBorder="1"/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mazon.de/QUPERR-Sicherung-Akku-Adapter-Lithium-Akku-Power-Converter/dp/B0BPRYRGVF/ref=sr_1_6?__mk_de_DE=&#197;M&#197;&#381;&#213;&#209;&amp;crid=276VZBEJ40QUX&amp;dib=eyJ2IjoiMSJ9.7SKdXH7QLVLBjgwq-4cSCmbfxWZX8zEXSMFm1-XC4fKXJnAK8tr-OUUHGSCVjd96leUb2TzWPY70SoNDNuofOuOwgBoaw3QEOZNwy2e21XDrZdrocEDUCDjjEvyJknbExeVieTLSwac3dbVEVAA3MsZyqtxId76PBSZqhRb2NTPzAfUzjW1d9oUUEX1JwUPF_MGxOsbfKxQzeZp9oAaAs81eWJjCOFA_fS7nYSsUeDY.9tHZQNh8Hzu9MMm-HiRbNy1zVDuVNl88OwXy5J3tccM&amp;dib_tag=se&amp;keywords=makita+akku+schnittstelle&amp;qid=1747144685&amp;sprefix=makita+akku+schnittstell%2Caps%2C146&amp;sr=8-6" TargetMode="External"/><Relationship Id="rId2" Type="http://schemas.openxmlformats.org/officeDocument/2006/relationships/hyperlink" Target="https://www.berrybase.at/dfrobot-dual-channel-dc-motor-driver-12a-pwm-6-5-37v-12a-kontinuierlich-70a-spitzenstrom" TargetMode="External"/><Relationship Id="rId1" Type="http://schemas.openxmlformats.org/officeDocument/2006/relationships/hyperlink" Target="https://www.berrybase.at/dfrobot-metall-dc-getriebemotor-mit-encoder-122rpm-90-1-38kg.cm-drehmoment-12v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reichelt.at/at/de/shop/produkt/entwicklerboards_-_esp8266_wifi-modul-192142?PROVID=2807&amp;gad_source=1&amp;gad_campaignid=20703100232&amp;gbraid=0AAAAADwnxtbHuNbIXEq_X_vZBuFC0CmHH" TargetMode="External"/><Relationship Id="rId4" Type="http://schemas.openxmlformats.org/officeDocument/2006/relationships/hyperlink" Target="https://www.conrad.at/de/p/makita-bl1840b-197265-4-werkzeug-akku-18-v-4-ah-li-ion-1533184.ht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O27"/>
  <sheetViews>
    <sheetView tabSelected="1" zoomScale="75" zoomScaleNormal="100" workbookViewId="0">
      <selection activeCell="E30" sqref="E30"/>
    </sheetView>
  </sheetViews>
  <sheetFormatPr baseColWidth="10" defaultColWidth="11.42578125" defaultRowHeight="15" x14ac:dyDescent="0.25"/>
  <cols>
    <col min="2" max="2" width="7.7109375" bestFit="1" customWidth="1"/>
    <col min="3" max="3" width="28.28515625" customWidth="1"/>
    <col min="4" max="4" width="13" customWidth="1"/>
    <col min="5" max="5" width="22.140625" bestFit="1" customWidth="1"/>
    <col min="6" max="6" width="30.7109375" customWidth="1"/>
    <col min="7" max="7" width="9.28515625" bestFit="1" customWidth="1"/>
    <col min="8" max="8" width="12.7109375" customWidth="1"/>
    <col min="9" max="9" width="15" bestFit="1" customWidth="1"/>
    <col min="10" max="10" width="14.5703125" bestFit="1" customWidth="1"/>
    <col min="11" max="11" width="12.85546875" bestFit="1" customWidth="1"/>
    <col min="12" max="12" width="12.42578125" bestFit="1" customWidth="1"/>
    <col min="13" max="13" width="8.5703125" customWidth="1"/>
    <col min="14" max="14" width="13.5703125" bestFit="1" customWidth="1"/>
    <col min="15" max="15" width="97.7109375" bestFit="1" customWidth="1"/>
  </cols>
  <sheetData>
    <row r="2" spans="2:15" x14ac:dyDescent="0.25">
      <c r="G2" s="10"/>
      <c r="H2" s="10"/>
    </row>
    <row r="3" spans="2:15" x14ac:dyDescent="0.2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25">
      <c r="B4" s="25"/>
      <c r="C4" s="25" t="s">
        <v>201</v>
      </c>
      <c r="D4" s="25" t="s">
        <v>36</v>
      </c>
      <c r="E4" s="30" t="s">
        <v>185</v>
      </c>
      <c r="F4" s="31" t="s">
        <v>183</v>
      </c>
      <c r="G4" s="25">
        <v>1</v>
      </c>
      <c r="H4" s="25"/>
      <c r="I4" s="32">
        <v>75.989999999999995</v>
      </c>
      <c r="J4" s="32">
        <v>63.324997483690673</v>
      </c>
      <c r="K4" s="32">
        <f t="shared" ref="K4:K5" si="0">I4*G4*IF(ISBLANK(H4), 1, H4)</f>
        <v>75.989999999999995</v>
      </c>
      <c r="L4" s="32">
        <f t="shared" ref="L4:L5" si="1">K4/1.2</f>
        <v>63.324999999999996</v>
      </c>
      <c r="M4" s="33"/>
      <c r="N4" s="34"/>
      <c r="O4" s="25" t="s">
        <v>184</v>
      </c>
    </row>
    <row r="5" spans="2:15" x14ac:dyDescent="0.25">
      <c r="C5" t="s">
        <v>200</v>
      </c>
      <c r="D5" t="s">
        <v>188</v>
      </c>
      <c r="E5" s="18" t="s">
        <v>189</v>
      </c>
      <c r="F5" s="35" t="s">
        <v>187</v>
      </c>
      <c r="G5">
        <v>2</v>
      </c>
      <c r="I5" s="36">
        <v>31.9</v>
      </c>
      <c r="J5" s="36">
        <v>26.583332277006615</v>
      </c>
      <c r="K5" s="36">
        <f t="shared" si="0"/>
        <v>63.8</v>
      </c>
      <c r="L5" s="36">
        <f t="shared" si="1"/>
        <v>53.166666666666664</v>
      </c>
      <c r="M5" s="37"/>
      <c r="N5" s="38"/>
      <c r="O5" t="s">
        <v>186</v>
      </c>
    </row>
    <row r="6" spans="2:15" x14ac:dyDescent="0.25">
      <c r="C6" t="s">
        <v>199</v>
      </c>
      <c r="D6" t="s">
        <v>188</v>
      </c>
      <c r="E6" s="18" t="s">
        <v>193</v>
      </c>
      <c r="F6" s="13" t="s">
        <v>191</v>
      </c>
      <c r="G6">
        <v>1</v>
      </c>
      <c r="I6" s="36">
        <v>35.9</v>
      </c>
      <c r="J6" s="36">
        <v>29.916665477885186</v>
      </c>
      <c r="K6" s="36">
        <f t="shared" ref="K6:K9" si="2">I6*G6*IF(ISBLANK(H6), 1, H6)</f>
        <v>35.9</v>
      </c>
      <c r="L6" s="36">
        <f t="shared" ref="L6:L9" si="3">K6/1.2</f>
        <v>29.916666666666668</v>
      </c>
      <c r="M6" s="16"/>
      <c r="N6" s="15"/>
      <c r="O6" t="s">
        <v>192</v>
      </c>
    </row>
    <row r="7" spans="2:15" x14ac:dyDescent="0.25">
      <c r="C7" t="s">
        <v>198</v>
      </c>
      <c r="D7" t="s">
        <v>24</v>
      </c>
      <c r="E7" s="18" t="s">
        <v>190</v>
      </c>
      <c r="F7" s="13" t="s">
        <v>181</v>
      </c>
      <c r="G7">
        <v>1</v>
      </c>
      <c r="I7" s="36">
        <v>20.16</v>
      </c>
      <c r="J7" s="36">
        <v>16.799999332428005</v>
      </c>
      <c r="K7" s="36">
        <f t="shared" si="2"/>
        <v>20.16</v>
      </c>
      <c r="L7" s="36">
        <f t="shared" si="3"/>
        <v>16.8</v>
      </c>
      <c r="M7" s="16"/>
      <c r="N7" s="15"/>
      <c r="O7" t="s">
        <v>178</v>
      </c>
    </row>
    <row r="8" spans="2:15" x14ac:dyDescent="0.25">
      <c r="C8" t="s">
        <v>197</v>
      </c>
      <c r="D8" t="s">
        <v>24</v>
      </c>
      <c r="E8" s="18" t="s">
        <v>190</v>
      </c>
      <c r="F8" s="13" t="s">
        <v>182</v>
      </c>
      <c r="G8">
        <v>1</v>
      </c>
      <c r="I8" s="36">
        <v>19.149999999999999</v>
      </c>
      <c r="J8" s="36">
        <v>15.958332699206164</v>
      </c>
      <c r="K8" s="36">
        <f t="shared" si="2"/>
        <v>19.149999999999999</v>
      </c>
      <c r="L8" s="36">
        <f t="shared" si="3"/>
        <v>15.958333333333332</v>
      </c>
      <c r="M8" s="16"/>
      <c r="N8" s="15"/>
      <c r="O8" t="s">
        <v>179</v>
      </c>
    </row>
    <row r="9" spans="2:15" x14ac:dyDescent="0.25">
      <c r="C9" t="s">
        <v>196</v>
      </c>
      <c r="D9" t="s">
        <v>113</v>
      </c>
      <c r="E9" s="18" t="s">
        <v>195</v>
      </c>
      <c r="F9" s="13" t="s">
        <v>194</v>
      </c>
      <c r="G9">
        <v>1</v>
      </c>
      <c r="I9" s="36">
        <v>4.13</v>
      </c>
      <c r="J9" s="36">
        <v>3.4416665299071258</v>
      </c>
      <c r="K9" s="36">
        <f t="shared" si="2"/>
        <v>4.13</v>
      </c>
      <c r="L9" s="36">
        <f t="shared" si="3"/>
        <v>3.4416666666666669</v>
      </c>
      <c r="M9" s="16"/>
      <c r="N9" s="15"/>
      <c r="O9" t="s">
        <v>180</v>
      </c>
    </row>
    <row r="10" spans="2:15" x14ac:dyDescent="0.25">
      <c r="B10" s="25"/>
      <c r="C10" s="25"/>
      <c r="D10" s="25"/>
      <c r="E10" s="25"/>
      <c r="F10" s="25"/>
      <c r="G10" s="25"/>
      <c r="H10" s="25"/>
      <c r="I10" s="26"/>
      <c r="J10" s="26"/>
      <c r="K10" s="27">
        <f>SUBTOTAL(9, K4:K9)</f>
        <v>219.13</v>
      </c>
      <c r="L10" s="27">
        <f>SUBTOTAL(9, L4:L9)</f>
        <v>182.60833333333335</v>
      </c>
      <c r="M10" s="27"/>
      <c r="N10" s="28">
        <f xml:space="preserve"> SUBTOTAL(9,N4:N9)</f>
        <v>0</v>
      </c>
      <c r="O10" s="29" t="s">
        <v>14</v>
      </c>
    </row>
    <row r="15" spans="2:15" ht="15" customHeight="1" x14ac:dyDescent="0.25">
      <c r="D15" s="11"/>
    </row>
    <row r="18" spans="6:14" x14ac:dyDescent="0.25">
      <c r="F18" s="7"/>
      <c r="I18" s="8"/>
      <c r="J18" s="8"/>
      <c r="K18" s="8"/>
      <c r="L18" s="8"/>
      <c r="M18" s="8"/>
      <c r="N18" s="8"/>
    </row>
    <row r="20" spans="6:14" x14ac:dyDescent="0.25">
      <c r="F20" s="7"/>
    </row>
    <row r="27" spans="6:14" x14ac:dyDescent="0.25">
      <c r="G27" s="9"/>
      <c r="H27" s="9"/>
    </row>
  </sheetData>
  <autoFilter ref="B3:O3" xr:uid="{00000000-0009-0000-0000-000000000000}"/>
  <hyperlinks>
    <hyperlink ref="F5" r:id="rId1" xr:uid="{EA381DB8-E5A8-4C48-A976-A50C47AD4B41}"/>
    <hyperlink ref="F6" r:id="rId2" xr:uid="{0CDE4A9A-188F-45F6-B624-00ECDA0B688A}"/>
    <hyperlink ref="F8" r:id="rId3" display="https://www.amazon.de/QUPERR-Sicherung-Akku-Adapter-Lithium-Akku-Power-Converter/dp/B0BPRYRGVF/ref=sr_1_6?__mk_de_DE=ÅMÅŽÕÑ&amp;crid=276VZBEJ40QUX&amp;dib=eyJ2IjoiMSJ9.7SKdXH7QLVLBjgwq-4cSCmbfxWZX8zEXSMFm1-XC4fKXJnAK8tr-OUUHGSCVjd96leUb2TzWPY70SoNDNuofOuOwgBoaw3QEOZNwy2e21XDrZdrocEDUCDjjEvyJknbExeVieTLSwac3dbVEVAA3MsZyqtxId76PBSZqhRb2NTPzAfUzjW1d9oUUEX1JwUPF_MGxOsbfKxQzeZp9oAaAs81eWJjCOFA_fS7nYSsUeDY.9tHZQNh8Hzu9MMm-HiRbNy1zVDuVNl88OwXy5J3tccM&amp;dib_tag=se&amp;keywords=makita+akku+schnittstelle&amp;qid=1747144685&amp;sprefix=makita+akku+schnittstell%2Caps%2C146&amp;sr=8-6" xr:uid="{711DE827-BA21-4908-A396-936F9523ED49}"/>
    <hyperlink ref="F4" r:id="rId4" xr:uid="{73BA444B-25D4-4F4F-A42C-32C245581648}"/>
    <hyperlink ref="F9" r:id="rId5" location="closemodal" xr:uid="{81DFF530-0E34-412E-B8FE-5275FD3BD13A}"/>
  </hyperlinks>
  <pageMargins left="0.7" right="0.7" top="0.78740157499999996" bottom="0.78740157499999996" header="0.3" footer="0.3"/>
  <pageSetup paperSize="9"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baseColWidth="10" defaultColWidth="11.42578125" defaultRowHeight="15" x14ac:dyDescent="0.25"/>
  <cols>
    <col min="2" max="2" width="26.7109375" bestFit="1" customWidth="1"/>
    <col min="3" max="3" width="44.85546875" bestFit="1" customWidth="1"/>
    <col min="4" max="4" width="22" style="20" bestFit="1" customWidth="1"/>
    <col min="5" max="5" width="55.7109375" bestFit="1" customWidth="1"/>
    <col min="6" max="6" width="11.85546875" bestFit="1" customWidth="1"/>
    <col min="7" max="7" width="71.85546875" bestFit="1" customWidth="1"/>
  </cols>
  <sheetData>
    <row r="1" spans="2:7" x14ac:dyDescent="0.25">
      <c r="D1"/>
    </row>
    <row r="2" spans="2:7" x14ac:dyDescent="0.25">
      <c r="D2"/>
    </row>
    <row r="3" spans="2:7" x14ac:dyDescent="0.25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25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25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25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25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25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25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25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25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25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25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25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25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25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25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25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25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25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25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25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25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25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25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25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25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25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25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25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25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25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25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25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25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25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25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25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25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25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25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25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25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25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25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25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25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baseColWidth="10" defaultColWidth="11.42578125" defaultRowHeight="15" x14ac:dyDescent="0.25"/>
  <cols>
    <col min="2" max="2" width="7.7109375" bestFit="1" customWidth="1"/>
    <col min="3" max="3" width="28.28515625" customWidth="1"/>
    <col min="4" max="4" width="13" customWidth="1"/>
    <col min="5" max="5" width="17" customWidth="1"/>
    <col min="6" max="6" width="28" customWidth="1"/>
    <col min="7" max="7" width="9.28515625" bestFit="1" customWidth="1"/>
    <col min="8" max="8" width="12.7109375" customWidth="1"/>
    <col min="9" max="9" width="15" bestFit="1" customWidth="1"/>
    <col min="10" max="10" width="14.5703125" bestFit="1" customWidth="1"/>
    <col min="11" max="11" width="12.85546875" bestFit="1" customWidth="1"/>
    <col min="12" max="12" width="12.42578125" bestFit="1" customWidth="1"/>
    <col min="13" max="13" width="8.5703125" customWidth="1"/>
    <col min="14" max="14" width="13.5703125" bestFit="1" customWidth="1"/>
    <col min="15" max="15" width="63.28515625" bestFit="1" customWidth="1"/>
  </cols>
  <sheetData>
    <row r="2" spans="2:15" x14ac:dyDescent="0.25">
      <c r="G2" s="10"/>
      <c r="H2" s="10"/>
    </row>
    <row r="3" spans="2:15" x14ac:dyDescent="0.2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2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 x14ac:dyDescent="0.2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 x14ac:dyDescent="0.2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2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2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2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2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25">
      <c r="D15" s="11"/>
    </row>
    <row r="18" spans="6:14" x14ac:dyDescent="0.25">
      <c r="F18" s="7"/>
      <c r="I18" s="8"/>
      <c r="J18" s="8"/>
      <c r="K18" s="8"/>
      <c r="L18" s="8"/>
      <c r="M18" s="8"/>
      <c r="N18" s="8"/>
    </row>
    <row r="20" spans="6:14" x14ac:dyDescent="0.25">
      <c r="F20" s="7"/>
    </row>
    <row r="27" spans="6:14" x14ac:dyDescent="0.25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baseColWidth="10" defaultColWidth="11.42578125" defaultRowHeight="15" x14ac:dyDescent="0.25"/>
  <cols>
    <col min="2" max="2" width="6.5703125" bestFit="1" customWidth="1"/>
    <col min="3" max="3" width="14.5703125" bestFit="1" customWidth="1"/>
    <col min="4" max="4" width="65.28515625" bestFit="1" customWidth="1"/>
  </cols>
  <sheetData>
    <row r="3" spans="2:4" x14ac:dyDescent="0.25">
      <c r="B3" s="21" t="s">
        <v>163</v>
      </c>
      <c r="C3" s="1" t="s">
        <v>164</v>
      </c>
      <c r="D3" s="1" t="s">
        <v>15</v>
      </c>
    </row>
    <row r="4" spans="2:4" ht="30" x14ac:dyDescent="0.25">
      <c r="B4" s="22">
        <v>1</v>
      </c>
      <c r="C4" s="23" t="s">
        <v>0</v>
      </c>
      <c r="D4" s="24" t="s">
        <v>165</v>
      </c>
    </row>
    <row r="5" spans="2:4" x14ac:dyDescent="0.25">
      <c r="B5" s="22">
        <v>2</v>
      </c>
      <c r="C5" s="23" t="s">
        <v>1</v>
      </c>
      <c r="D5" s="23" t="s">
        <v>166</v>
      </c>
    </row>
    <row r="6" spans="2:4" x14ac:dyDescent="0.25">
      <c r="B6" s="22">
        <v>3</v>
      </c>
      <c r="C6" s="23" t="s">
        <v>2</v>
      </c>
      <c r="D6" s="23" t="s">
        <v>167</v>
      </c>
    </row>
    <row r="7" spans="2:4" x14ac:dyDescent="0.25">
      <c r="B7" s="22">
        <v>4</v>
      </c>
      <c r="C7" s="23" t="s">
        <v>3</v>
      </c>
      <c r="D7" s="23" t="s">
        <v>168</v>
      </c>
    </row>
    <row r="8" spans="2:4" x14ac:dyDescent="0.25">
      <c r="B8" s="22">
        <v>5</v>
      </c>
      <c r="C8" s="23" t="s">
        <v>4</v>
      </c>
      <c r="D8" s="23" t="s">
        <v>169</v>
      </c>
    </row>
    <row r="9" spans="2:4" x14ac:dyDescent="0.25">
      <c r="B9" s="22">
        <v>6</v>
      </c>
      <c r="C9" s="23" t="s">
        <v>5</v>
      </c>
      <c r="D9" s="23" t="s">
        <v>170</v>
      </c>
    </row>
    <row r="10" spans="2:4" x14ac:dyDescent="0.25">
      <c r="B10" s="22">
        <v>7</v>
      </c>
      <c r="C10" s="23" t="s">
        <v>6</v>
      </c>
      <c r="D10" s="23" t="s">
        <v>171</v>
      </c>
    </row>
    <row r="11" spans="2:4" ht="30" x14ac:dyDescent="0.25">
      <c r="B11" s="22">
        <v>8</v>
      </c>
      <c r="C11" s="23" t="s">
        <v>7</v>
      </c>
      <c r="D11" s="24" t="s">
        <v>172</v>
      </c>
    </row>
    <row r="12" spans="2:4" ht="30" x14ac:dyDescent="0.25">
      <c r="B12" s="22">
        <v>9</v>
      </c>
      <c r="C12" s="23" t="s">
        <v>8</v>
      </c>
      <c r="D12" s="24" t="s">
        <v>173</v>
      </c>
    </row>
    <row r="13" spans="2:4" x14ac:dyDescent="0.25">
      <c r="B13" s="22">
        <v>10</v>
      </c>
      <c r="C13" s="23" t="s">
        <v>9</v>
      </c>
      <c r="D13" s="23" t="s">
        <v>174</v>
      </c>
    </row>
    <row r="14" spans="2:4" x14ac:dyDescent="0.25">
      <c r="B14" s="22">
        <v>11</v>
      </c>
      <c r="C14" s="23" t="s">
        <v>10</v>
      </c>
      <c r="D14" s="23" t="s">
        <v>175</v>
      </c>
    </row>
    <row r="15" spans="2:4" x14ac:dyDescent="0.25">
      <c r="B15" s="22">
        <v>12</v>
      </c>
      <c r="C15" s="23" t="s">
        <v>11</v>
      </c>
      <c r="D15" s="23" t="s">
        <v>176</v>
      </c>
    </row>
    <row r="16" spans="2:4" ht="30" x14ac:dyDescent="0.25">
      <c r="B16" s="22">
        <v>13</v>
      </c>
      <c r="C16" s="23" t="s">
        <v>12</v>
      </c>
      <c r="D16" s="24" t="s">
        <v>177</v>
      </c>
    </row>
    <row r="17" spans="2:4" x14ac:dyDescent="0.25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Max Eckstein</cp:lastModifiedBy>
  <cp:revision/>
  <dcterms:created xsi:type="dcterms:W3CDTF">2021-12-01T09:08:01Z</dcterms:created>
  <dcterms:modified xsi:type="dcterms:W3CDTF">2025-06-11T14:25:30Z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