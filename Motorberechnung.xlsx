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c\Documents\Studium\4. Semester\Elektronische Produktentwicklung I\ELEK_Inv_Pen\"/>
    </mc:Choice>
  </mc:AlternateContent>
  <xr:revisionPtr revIDLastSave="0" documentId="13_ncr:1_{47C1730C-9D90-43D5-B156-1491AE05B656}" xr6:coauthVersionLast="47" xr6:coauthVersionMax="47" xr10:uidLastSave="{00000000-0000-0000-0000-000000000000}"/>
  <bookViews>
    <workbookView xWindow="-120" yWindow="-120" windowWidth="29040" windowHeight="15720" xr2:uid="{670FC465-39C8-4909-B1BC-E689F93C8887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7" i="1"/>
  <c r="C20" i="1"/>
  <c r="C17" i="1"/>
  <c r="C25" i="1" s="1"/>
  <c r="C15" i="1"/>
  <c r="C14" i="1"/>
  <c r="C24" i="1" s="1"/>
  <c r="C27" i="1" l="1"/>
</calcChain>
</file>

<file path=xl/sharedStrings.xml><?xml version="1.0" encoding="utf-8"?>
<sst xmlns="http://schemas.openxmlformats.org/spreadsheetml/2006/main" count="38" uniqueCount="25">
  <si>
    <t>Massen:</t>
  </si>
  <si>
    <t>Akku:</t>
  </si>
  <si>
    <t>Motoren (2x):</t>
  </si>
  <si>
    <t>Räder (2x):</t>
  </si>
  <si>
    <t>PCB:</t>
  </si>
  <si>
    <t>DC/DC Wandler:</t>
  </si>
  <si>
    <t>Akku Halterung:</t>
  </si>
  <si>
    <t>a (Annahme)</t>
  </si>
  <si>
    <t>m/s^2</t>
  </si>
  <si>
    <t>mges</t>
  </si>
  <si>
    <t>kg</t>
  </si>
  <si>
    <t>r</t>
  </si>
  <si>
    <t>m</t>
  </si>
  <si>
    <t>mp</t>
  </si>
  <si>
    <t>g</t>
  </si>
  <si>
    <t>L</t>
  </si>
  <si>
    <t>alpha</t>
  </si>
  <si>
    <t>rad</t>
  </si>
  <si>
    <t>SF</t>
  </si>
  <si>
    <t>Mbasis</t>
  </si>
  <si>
    <t>Mkipp</t>
  </si>
  <si>
    <t>Mges</t>
  </si>
  <si>
    <t>Nm</t>
  </si>
  <si>
    <t>Gehäuse:</t>
  </si>
  <si>
    <t>Mmotor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</si>
</sst>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E4E5-7DC7-4A4C-B715-0D4FB06B01AB}">
  <dimension ref="B2:D29"/>
  <sheetViews>
    <sheetView tabSelected="1" topLeftCell="A2" workbookViewId="0">
      <selection activeCell="R13" sqref="R13"/>
    </sheetView>
  </sheetViews>
  <sheetFormatPr baseColWidth="10" defaultRowHeight="15" x14ac:dyDescent="0.25"/>
  <cols>
    <col min="2" max="2" width="13.5703125" bestFit="1" customWidth="1"/>
  </cols>
  <sheetData>
    <row r="2" spans="2:4" x14ac:dyDescent="0.25">
      <c r="B2" t="s">
        <v>0</v>
      </c>
    </row>
    <row r="4" spans="2:4" x14ac:dyDescent="0.25">
      <c r="B4" t="s">
        <v>1</v>
      </c>
      <c r="C4">
        <v>0.5</v>
      </c>
      <c r="D4" t="s">
        <v>10</v>
      </c>
    </row>
    <row r="5" spans="2:4" x14ac:dyDescent="0.25">
      <c r="B5" t="s">
        <v>3</v>
      </c>
      <c r="C5">
        <v>0.2</v>
      </c>
      <c r="D5" t="s">
        <v>10</v>
      </c>
    </row>
    <row r="6" spans="2:4" x14ac:dyDescent="0.25">
      <c r="B6" t="s">
        <v>23</v>
      </c>
      <c r="C6">
        <v>1.5</v>
      </c>
      <c r="D6" t="s">
        <v>10</v>
      </c>
    </row>
    <row r="7" spans="2:4" x14ac:dyDescent="0.25">
      <c r="B7" t="s">
        <v>2</v>
      </c>
      <c r="C7">
        <f>0.625*2</f>
        <v>1.25</v>
      </c>
      <c r="D7" t="s">
        <v>10</v>
      </c>
    </row>
    <row r="8" spans="2:4" x14ac:dyDescent="0.25">
      <c r="B8" t="s">
        <v>4</v>
      </c>
      <c r="C8">
        <v>0.1</v>
      </c>
      <c r="D8" t="s">
        <v>10</v>
      </c>
    </row>
    <row r="9" spans="2:4" x14ac:dyDescent="0.25">
      <c r="B9" t="s">
        <v>5</v>
      </c>
      <c r="C9">
        <v>0.3</v>
      </c>
      <c r="D9" t="s">
        <v>10</v>
      </c>
    </row>
    <row r="10" spans="2:4" x14ac:dyDescent="0.25">
      <c r="B10" t="s">
        <v>6</v>
      </c>
      <c r="C10">
        <v>0.2</v>
      </c>
      <c r="D10" t="s">
        <v>10</v>
      </c>
    </row>
    <row r="13" spans="2:4" x14ac:dyDescent="0.25">
      <c r="B13" t="s">
        <v>7</v>
      </c>
      <c r="C13">
        <v>5</v>
      </c>
      <c r="D13" t="s">
        <v>8</v>
      </c>
    </row>
    <row r="14" spans="2:4" x14ac:dyDescent="0.25">
      <c r="B14" t="s">
        <v>9</v>
      </c>
      <c r="C14">
        <f>SUM(C4:C10)</f>
        <v>4.05</v>
      </c>
      <c r="D14" t="s">
        <v>10</v>
      </c>
    </row>
    <row r="15" spans="2:4" x14ac:dyDescent="0.25">
      <c r="B15" t="s">
        <v>11</v>
      </c>
      <c r="C15">
        <f>5*10^(-2)</f>
        <v>0.05</v>
      </c>
      <c r="D15" t="s">
        <v>12</v>
      </c>
    </row>
    <row r="17" spans="2:4" x14ac:dyDescent="0.25">
      <c r="B17" t="s">
        <v>13</v>
      </c>
      <c r="C17">
        <f>C4+C6+C8+C9+C10</f>
        <v>2.6</v>
      </c>
      <c r="D17" t="s">
        <v>10</v>
      </c>
    </row>
    <row r="18" spans="2:4" x14ac:dyDescent="0.25">
      <c r="B18" t="s">
        <v>14</v>
      </c>
      <c r="C18">
        <v>9.81</v>
      </c>
      <c r="D18" t="s">
        <v>8</v>
      </c>
    </row>
    <row r="19" spans="2:4" x14ac:dyDescent="0.25">
      <c r="B19" t="s">
        <v>15</v>
      </c>
      <c r="C19">
        <v>0.15</v>
      </c>
      <c r="D19" t="s">
        <v>12</v>
      </c>
    </row>
    <row r="20" spans="2:4" x14ac:dyDescent="0.25">
      <c r="B20" t="s">
        <v>16</v>
      </c>
      <c r="C20">
        <f>10*PI()/180</f>
        <v>0.17453292519943295</v>
      </c>
      <c r="D20" t="s">
        <v>17</v>
      </c>
    </row>
    <row r="22" spans="2:4" x14ac:dyDescent="0.25">
      <c r="B22" t="s">
        <v>18</v>
      </c>
      <c r="C22">
        <v>1.5</v>
      </c>
    </row>
    <row r="24" spans="2:4" x14ac:dyDescent="0.25">
      <c r="B24" t="s">
        <v>19</v>
      </c>
      <c r="C24">
        <f>C14*C13*C15</f>
        <v>1.0125</v>
      </c>
      <c r="D24" t="s">
        <v>22</v>
      </c>
    </row>
    <row r="25" spans="2:4" x14ac:dyDescent="0.25">
      <c r="B25" t="s">
        <v>20</v>
      </c>
      <c r="C25">
        <f>C17*C18*C19*C20</f>
        <v>0.66774551852051056</v>
      </c>
      <c r="D25" t="s">
        <v>22</v>
      </c>
    </row>
    <row r="27" spans="2:4" x14ac:dyDescent="0.25">
      <c r="B27" t="s">
        <v>21</v>
      </c>
      <c r="C27">
        <f>(C24+C25)*C22</f>
        <v>2.5203682777807659</v>
      </c>
      <c r="D27" t="s">
        <v>22</v>
      </c>
    </row>
    <row r="29" spans="2:4" x14ac:dyDescent="0.25">
      <c r="B29" t="s">
        <v>24</v>
      </c>
      <c r="C29">
        <f>C27/2</f>
        <v>1.2601841388903829</v>
      </c>
      <c r="D29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Eckstein</dc:creator>
  <cp:lastModifiedBy>Max Eckstein</cp:lastModifiedBy>
  <dcterms:created xsi:type="dcterms:W3CDTF">2025-05-13T11:49:43Z</dcterms:created>
  <dcterms:modified xsi:type="dcterms:W3CDTF">2025-05-14T13:34:00Z</dcterms:modified>
</cp:coreProperties>
</file>